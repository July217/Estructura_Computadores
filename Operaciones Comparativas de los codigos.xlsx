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iby\OneDrive\Documentos\INGENIERIA INFORMATICA\ESTRUCTURA DE COMPUTADORES\Actividades\Documentación Actividad Estructura de computadores -20260218\"/>
    </mc:Choice>
  </mc:AlternateContent>
  <xr:revisionPtr revIDLastSave="0" documentId="13_ncr:1_{99936B70-3E5D-4891-8603-1A4CE6C7303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8" i="1" l="1"/>
  <c r="C48" i="1"/>
  <c r="D44" i="1"/>
  <c r="D43" i="1"/>
  <c r="D39" i="1"/>
  <c r="D38" i="1"/>
  <c r="C32" i="1"/>
  <c r="B28" i="1"/>
  <c r="E20" i="1"/>
  <c r="F19" i="1"/>
  <c r="D17" i="1"/>
  <c r="F17" i="1" s="1"/>
  <c r="E21" i="1" l="1"/>
  <c r="D20" i="1"/>
  <c r="D21" i="1" s="1"/>
</calcChain>
</file>

<file path=xl/sharedStrings.xml><?xml version="1.0" encoding="utf-8"?>
<sst xmlns="http://schemas.openxmlformats.org/spreadsheetml/2006/main" count="76" uniqueCount="56">
  <si>
    <t>IC_PO</t>
  </si>
  <si>
    <t>IC_PB</t>
  </si>
  <si>
    <t>T_Instrucciones</t>
  </si>
  <si>
    <t>R_type</t>
  </si>
  <si>
    <t>I_type</t>
  </si>
  <si>
    <t>J_type</t>
  </si>
  <si>
    <t>IS_PO</t>
  </si>
  <si>
    <t>IS_PB</t>
  </si>
  <si>
    <t>ALU</t>
  </si>
  <si>
    <t>JUMP</t>
  </si>
  <si>
    <t>Branch</t>
  </si>
  <si>
    <t>Memory</t>
  </si>
  <si>
    <t>Other</t>
  </si>
  <si>
    <t>Codigo Base</t>
  </si>
  <si>
    <t>Codigo Optimizado</t>
  </si>
  <si>
    <t>Stall</t>
  </si>
  <si>
    <t>Total Stalss</t>
  </si>
  <si>
    <t>Ciclo Totales Estimados</t>
  </si>
  <si>
    <t>CPI Estimado</t>
  </si>
  <si>
    <t>INS_TOTALEs</t>
  </si>
  <si>
    <t>1.25</t>
  </si>
  <si>
    <t>1.15</t>
  </si>
  <si>
    <t>Nombre De Interaccion</t>
  </si>
  <si>
    <t xml:space="preserve">Operaciones Codigo </t>
  </si>
  <si>
    <t>Operaciones Comprobatorias</t>
  </si>
  <si>
    <t>Instrucciones Totales</t>
  </si>
  <si>
    <t>Loop</t>
  </si>
  <si>
    <t>beq -&gt; j loop</t>
  </si>
  <si>
    <t xml:space="preserve">Vector </t>
  </si>
  <si>
    <t>Calculo</t>
  </si>
  <si>
    <t>Instrucciones</t>
  </si>
  <si>
    <t>Valores</t>
  </si>
  <si>
    <t>Inicio / Fin</t>
  </si>
  <si>
    <t>Los Stalls (Ciclos de Parada)</t>
  </si>
  <si>
    <t>lw $t6, 0($t5)</t>
  </si>
  <si>
    <t>mul $t7,  $t6, $t0</t>
  </si>
  <si>
    <t xml:space="preserve">Codigo Base </t>
  </si>
  <si>
    <t>El procesador pide el dato a la memeria (Etapa MEM)</t>
  </si>
  <si>
    <t>El procesador necesita el valor de $t6 para multiplicar</t>
  </si>
  <si>
    <t>1 Stall por 8 Vueltas</t>
  </si>
  <si>
    <t>0 Stall</t>
  </si>
  <si>
    <t>Valores Totales</t>
  </si>
  <si>
    <t>Ciclos Totales Estimados</t>
  </si>
  <si>
    <t>Cantidad de instrucciones</t>
  </si>
  <si>
    <t>Numero de Stalls</t>
  </si>
  <si>
    <t>Cantidad de Ciclos</t>
  </si>
  <si>
    <t xml:space="preserve">88 Ciclos </t>
  </si>
  <si>
    <t>80 Ciclos</t>
  </si>
  <si>
    <t>CPI (Ciclos Por Instrucciones)</t>
  </si>
  <si>
    <t>Ciclos Totales</t>
  </si>
  <si>
    <t xml:space="preserve">Codigo Optimizado </t>
  </si>
  <si>
    <t>Calculo Rendimiento</t>
  </si>
  <si>
    <t>Ciclos de Reloj</t>
  </si>
  <si>
    <t>Stalls o Paradas</t>
  </si>
  <si>
    <t>CPI</t>
  </si>
  <si>
    <t>Codigo Optimizao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</si>
</sst>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0" borderId="0" xfId="0" applyAlignment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0" fontId="0" fillId="4" borderId="1" xfId="0" applyFill="1" applyBorder="1"/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/>
    <xf numFmtId="0" fontId="0" fillId="7" borderId="1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39" workbookViewId="0">
      <selection activeCell="D63" sqref="D63"/>
    </sheetView>
  </sheetViews>
  <sheetFormatPr baseColWidth="10" defaultColWidth="9.140625" defaultRowHeight="15" x14ac:dyDescent="0.25"/>
  <cols>
    <col min="1" max="1" width="25.85546875" customWidth="1"/>
    <col min="2" max="2" width="24" bestFit="1" customWidth="1"/>
    <col min="3" max="3" width="19.7109375" bestFit="1" customWidth="1"/>
    <col min="5" max="5" width="17.28515625" bestFit="1" customWidth="1"/>
    <col min="6" max="6" width="9.85546875" customWidth="1"/>
  </cols>
  <sheetData>
    <row r="1" spans="1:6" x14ac:dyDescent="0.25">
      <c r="A1" s="3" t="s">
        <v>22</v>
      </c>
      <c r="B1" s="3" t="s">
        <v>1</v>
      </c>
      <c r="C1" s="3" t="s">
        <v>0</v>
      </c>
      <c r="D1" s="1"/>
      <c r="E1" s="1"/>
      <c r="F1" s="1"/>
    </row>
    <row r="2" spans="1:6" x14ac:dyDescent="0.25">
      <c r="A2" s="2" t="s">
        <v>2</v>
      </c>
      <c r="B2" s="2">
        <v>94</v>
      </c>
      <c r="C2" s="2">
        <v>94</v>
      </c>
      <c r="D2" s="1"/>
      <c r="E2" s="1"/>
      <c r="F2" s="1"/>
    </row>
    <row r="3" spans="1:6" x14ac:dyDescent="0.25">
      <c r="A3" s="2" t="s">
        <v>3</v>
      </c>
      <c r="B3" s="2">
        <v>41</v>
      </c>
      <c r="C3" s="2">
        <v>41</v>
      </c>
      <c r="D3" s="1"/>
      <c r="E3" s="1"/>
      <c r="F3" s="1"/>
    </row>
    <row r="4" spans="1:6" x14ac:dyDescent="0.25">
      <c r="A4" s="2" t="s">
        <v>4</v>
      </c>
      <c r="B4" s="2">
        <v>45</v>
      </c>
      <c r="C4" s="2">
        <v>45</v>
      </c>
      <c r="D4" s="1"/>
      <c r="E4" s="1"/>
      <c r="F4" s="1"/>
    </row>
    <row r="5" spans="1:6" x14ac:dyDescent="0.25">
      <c r="A5" s="2" t="s">
        <v>5</v>
      </c>
      <c r="B5" s="2">
        <v>8</v>
      </c>
      <c r="C5" s="2">
        <v>8</v>
      </c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4" t="s">
        <v>22</v>
      </c>
      <c r="B7" s="4" t="s">
        <v>7</v>
      </c>
      <c r="C7" s="4" t="s">
        <v>6</v>
      </c>
      <c r="D7" s="1"/>
      <c r="E7" s="1"/>
      <c r="F7" s="1"/>
    </row>
    <row r="8" spans="1:6" x14ac:dyDescent="0.25">
      <c r="A8" s="2" t="s">
        <v>2</v>
      </c>
      <c r="B8" s="2">
        <v>94</v>
      </c>
      <c r="C8" s="2">
        <v>94</v>
      </c>
      <c r="D8" s="1"/>
      <c r="E8" s="1"/>
      <c r="F8" s="1"/>
    </row>
    <row r="9" spans="1:6" x14ac:dyDescent="0.25">
      <c r="A9" s="2" t="s">
        <v>8</v>
      </c>
      <c r="B9" s="2">
        <v>25</v>
      </c>
      <c r="C9" s="2">
        <v>25</v>
      </c>
      <c r="D9" s="1"/>
      <c r="E9" s="1"/>
      <c r="F9" s="1"/>
    </row>
    <row r="10" spans="1:6" x14ac:dyDescent="0.25">
      <c r="A10" s="2" t="s">
        <v>9</v>
      </c>
      <c r="B10" s="2">
        <v>8</v>
      </c>
      <c r="C10" s="2">
        <v>8</v>
      </c>
      <c r="D10" s="1"/>
      <c r="E10" s="1"/>
      <c r="F10" s="1"/>
    </row>
    <row r="11" spans="1:6" x14ac:dyDescent="0.25">
      <c r="A11" s="2" t="s">
        <v>10</v>
      </c>
      <c r="B11" s="2">
        <v>9</v>
      </c>
      <c r="C11" s="2">
        <v>9</v>
      </c>
      <c r="D11" s="1"/>
      <c r="E11" s="1"/>
      <c r="F11" s="1"/>
    </row>
    <row r="12" spans="1:6" x14ac:dyDescent="0.25">
      <c r="A12" s="2" t="s">
        <v>11</v>
      </c>
      <c r="B12" s="2">
        <v>19</v>
      </c>
      <c r="C12" s="2">
        <v>19</v>
      </c>
      <c r="D12" s="1"/>
      <c r="E12" s="1"/>
      <c r="F12" s="1"/>
    </row>
    <row r="13" spans="1:6" x14ac:dyDescent="0.25">
      <c r="A13" s="2" t="s">
        <v>12</v>
      </c>
      <c r="B13" s="2">
        <v>33</v>
      </c>
      <c r="C13" s="2">
        <v>33</v>
      </c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ht="15.75" customHeight="1" x14ac:dyDescent="0.25">
      <c r="A15" s="1"/>
      <c r="B15" s="1"/>
      <c r="C15" s="1"/>
      <c r="D15" s="1"/>
      <c r="E15" s="1"/>
      <c r="F15" s="1"/>
    </row>
    <row r="16" spans="1:6" x14ac:dyDescent="0.25">
      <c r="A16" s="5" t="s">
        <v>23</v>
      </c>
      <c r="B16" s="5" t="s">
        <v>13</v>
      </c>
      <c r="C16" s="5" t="s">
        <v>14</v>
      </c>
      <c r="D16" s="16" t="s">
        <v>24</v>
      </c>
      <c r="E16" s="17"/>
      <c r="F16" s="18"/>
    </row>
    <row r="17" spans="1:6" x14ac:dyDescent="0.25">
      <c r="A17" s="2" t="s">
        <v>19</v>
      </c>
      <c r="B17" s="2">
        <v>94</v>
      </c>
      <c r="C17" s="2">
        <v>94</v>
      </c>
      <c r="D17" s="2">
        <f>(11 * 8)</f>
        <v>88</v>
      </c>
      <c r="E17" s="2">
        <v>6</v>
      </c>
      <c r="F17" s="2">
        <f>D17+E17</f>
        <v>94</v>
      </c>
    </row>
    <row r="18" spans="1:6" x14ac:dyDescent="0.25">
      <c r="A18" s="2" t="s">
        <v>15</v>
      </c>
      <c r="B18" s="2">
        <v>3</v>
      </c>
      <c r="C18" s="2">
        <v>1</v>
      </c>
      <c r="D18" s="2"/>
      <c r="E18" s="2"/>
      <c r="F18" s="2"/>
    </row>
    <row r="19" spans="1:6" x14ac:dyDescent="0.25">
      <c r="A19" s="2" t="s">
        <v>16</v>
      </c>
      <c r="B19" s="2">
        <v>24</v>
      </c>
      <c r="C19" s="2">
        <v>8</v>
      </c>
      <c r="D19" s="2">
        <v>3</v>
      </c>
      <c r="E19" s="2">
        <v>8</v>
      </c>
      <c r="F19" s="2">
        <f>(D19*E19)</f>
        <v>24</v>
      </c>
    </row>
    <row r="20" spans="1:6" x14ac:dyDescent="0.25">
      <c r="A20" s="2" t="s">
        <v>17</v>
      </c>
      <c r="B20" s="2">
        <v>118</v>
      </c>
      <c r="C20" s="2">
        <v>102</v>
      </c>
      <c r="D20" s="2">
        <f>(F19+F17)</f>
        <v>118</v>
      </c>
      <c r="E20" s="2">
        <f>(E19+C17)</f>
        <v>102</v>
      </c>
      <c r="F20" s="2"/>
    </row>
    <row r="21" spans="1:6" x14ac:dyDescent="0.25">
      <c r="A21" s="2" t="s">
        <v>18</v>
      </c>
      <c r="B21" s="2" t="s">
        <v>20</v>
      </c>
      <c r="C21" s="2" t="s">
        <v>21</v>
      </c>
      <c r="D21" s="2">
        <f>(D20/C17)</f>
        <v>1.2553191489361701</v>
      </c>
      <c r="E21" s="2">
        <f>(E20/D17)</f>
        <v>1.1590909090909092</v>
      </c>
      <c r="F21" s="2"/>
    </row>
    <row r="24" spans="1:6" x14ac:dyDescent="0.25">
      <c r="A24" s="8" t="s">
        <v>30</v>
      </c>
      <c r="B24" s="8" t="s">
        <v>31</v>
      </c>
      <c r="C24" s="8" t="s">
        <v>32</v>
      </c>
    </row>
    <row r="25" spans="1:6" x14ac:dyDescent="0.25">
      <c r="A25" s="6" t="s">
        <v>25</v>
      </c>
      <c r="B25" s="7">
        <v>80</v>
      </c>
      <c r="C25" s="7"/>
    </row>
    <row r="26" spans="1:6" x14ac:dyDescent="0.25">
      <c r="A26" s="6" t="s">
        <v>26</v>
      </c>
      <c r="B26" s="7">
        <v>10</v>
      </c>
      <c r="C26" s="2" t="s">
        <v>27</v>
      </c>
    </row>
    <row r="27" spans="1:6" x14ac:dyDescent="0.25">
      <c r="A27" s="6" t="s">
        <v>28</v>
      </c>
      <c r="B27" s="7">
        <v>8</v>
      </c>
      <c r="C27" s="7"/>
    </row>
    <row r="28" spans="1:6" x14ac:dyDescent="0.25">
      <c r="A28" s="6" t="s">
        <v>29</v>
      </c>
      <c r="B28" s="7">
        <f>(B26*B27)</f>
        <v>80</v>
      </c>
      <c r="C28" s="7"/>
    </row>
    <row r="31" spans="1:6" x14ac:dyDescent="0.25">
      <c r="A31" s="10" t="s">
        <v>33</v>
      </c>
      <c r="B31" s="10" t="s">
        <v>36</v>
      </c>
      <c r="C31" s="10" t="s">
        <v>31</v>
      </c>
      <c r="D31" s="20" t="s">
        <v>14</v>
      </c>
      <c r="E31" s="21"/>
    </row>
    <row r="32" spans="1:6" x14ac:dyDescent="0.25">
      <c r="A32" s="6" t="s">
        <v>41</v>
      </c>
      <c r="B32" s="2" t="s">
        <v>39</v>
      </c>
      <c r="C32" s="2">
        <f>(1*8)</f>
        <v>8</v>
      </c>
      <c r="D32" s="19" t="s">
        <v>40</v>
      </c>
      <c r="E32" s="19"/>
    </row>
    <row r="33" spans="1:9" x14ac:dyDescent="0.25">
      <c r="A33" s="6" t="s">
        <v>34</v>
      </c>
      <c r="B33" s="19" t="s">
        <v>37</v>
      </c>
      <c r="C33" s="19"/>
      <c r="D33" s="19"/>
      <c r="E33" s="19"/>
      <c r="F33" s="9"/>
      <c r="G33" s="9"/>
      <c r="H33" s="9"/>
      <c r="I33" s="9"/>
    </row>
    <row r="34" spans="1:9" x14ac:dyDescent="0.25">
      <c r="A34" s="6" t="s">
        <v>35</v>
      </c>
      <c r="B34" s="19" t="s">
        <v>38</v>
      </c>
      <c r="C34" s="19"/>
      <c r="D34" s="19"/>
      <c r="E34" s="19"/>
      <c r="F34" s="9"/>
      <c r="G34" s="9"/>
      <c r="H34" s="9"/>
      <c r="I34" s="9"/>
    </row>
    <row r="37" spans="1:9" x14ac:dyDescent="0.25">
      <c r="A37" s="13" t="s">
        <v>42</v>
      </c>
      <c r="B37" s="13" t="s">
        <v>43</v>
      </c>
      <c r="C37" s="13" t="s">
        <v>44</v>
      </c>
      <c r="D37" s="13" t="s">
        <v>29</v>
      </c>
      <c r="E37" s="13" t="s">
        <v>45</v>
      </c>
    </row>
    <row r="38" spans="1:9" x14ac:dyDescent="0.25">
      <c r="A38" s="12" t="s">
        <v>13</v>
      </c>
      <c r="B38" s="11">
        <v>80</v>
      </c>
      <c r="C38" s="11">
        <v>8</v>
      </c>
      <c r="D38" s="11">
        <f>(B38+C38)</f>
        <v>88</v>
      </c>
      <c r="E38" s="11" t="s">
        <v>46</v>
      </c>
    </row>
    <row r="39" spans="1:9" x14ac:dyDescent="0.25">
      <c r="A39" s="12" t="s">
        <v>14</v>
      </c>
      <c r="B39" s="11">
        <v>80</v>
      </c>
      <c r="C39" s="11">
        <v>0</v>
      </c>
      <c r="D39" s="11">
        <f>(B39+C39)</f>
        <v>80</v>
      </c>
      <c r="E39" s="11" t="s">
        <v>47</v>
      </c>
    </row>
    <row r="42" spans="1:9" x14ac:dyDescent="0.25">
      <c r="A42" s="14" t="s">
        <v>48</v>
      </c>
      <c r="B42" s="15" t="s">
        <v>49</v>
      </c>
      <c r="C42" s="15" t="s">
        <v>25</v>
      </c>
      <c r="D42" s="15" t="s">
        <v>29</v>
      </c>
    </row>
    <row r="43" spans="1:9" x14ac:dyDescent="0.25">
      <c r="A43" s="12" t="s">
        <v>13</v>
      </c>
      <c r="B43" s="7">
        <v>88</v>
      </c>
      <c r="C43" s="7">
        <v>80</v>
      </c>
      <c r="D43" s="7">
        <f>(B43/C43)</f>
        <v>1.1000000000000001</v>
      </c>
    </row>
    <row r="44" spans="1:9" x14ac:dyDescent="0.25">
      <c r="A44" s="12" t="s">
        <v>14</v>
      </c>
      <c r="B44" s="7">
        <v>80</v>
      </c>
      <c r="C44" s="7">
        <v>80</v>
      </c>
      <c r="D44" s="7">
        <f>(B44/C44)</f>
        <v>1</v>
      </c>
    </row>
    <row r="47" spans="1:9" x14ac:dyDescent="0.25">
      <c r="A47" s="25" t="s">
        <v>52</v>
      </c>
      <c r="B47" s="25" t="s">
        <v>31</v>
      </c>
      <c r="C47" s="25" t="s">
        <v>51</v>
      </c>
    </row>
    <row r="48" spans="1:9" x14ac:dyDescent="0.25">
      <c r="A48" s="7" t="s">
        <v>13</v>
      </c>
      <c r="B48" s="7">
        <v>88</v>
      </c>
      <c r="C48" s="23">
        <f>(B49*100)/B48</f>
        <v>90.909090909090907</v>
      </c>
    </row>
    <row r="49" spans="1:3" x14ac:dyDescent="0.25">
      <c r="A49" s="7" t="s">
        <v>50</v>
      </c>
      <c r="B49" s="7">
        <v>80</v>
      </c>
      <c r="C49" s="24"/>
    </row>
    <row r="52" spans="1:3" x14ac:dyDescent="0.25">
      <c r="A52" s="28" t="s">
        <v>53</v>
      </c>
      <c r="B52" s="28" t="s">
        <v>31</v>
      </c>
      <c r="C52" s="28" t="s">
        <v>51</v>
      </c>
    </row>
    <row r="53" spans="1:3" x14ac:dyDescent="0.25">
      <c r="A53" s="7" t="s">
        <v>13</v>
      </c>
      <c r="B53" s="7">
        <v>8</v>
      </c>
      <c r="C53" s="26">
        <v>1</v>
      </c>
    </row>
    <row r="54" spans="1:3" x14ac:dyDescent="0.25">
      <c r="A54" s="7" t="s">
        <v>14</v>
      </c>
      <c r="B54" s="7">
        <v>0</v>
      </c>
      <c r="C54" s="27"/>
    </row>
    <row r="57" spans="1:3" x14ac:dyDescent="0.25">
      <c r="A57" s="29" t="s">
        <v>54</v>
      </c>
      <c r="B57" s="29" t="s">
        <v>31</v>
      </c>
      <c r="C57" s="29" t="s">
        <v>51</v>
      </c>
    </row>
    <row r="58" spans="1:3" x14ac:dyDescent="0.25">
      <c r="A58" s="7" t="s">
        <v>13</v>
      </c>
      <c r="B58" s="7">
        <v>1.1000000000000001</v>
      </c>
      <c r="C58" s="22">
        <f>(B59*100)/B58</f>
        <v>90.909090909090907</v>
      </c>
    </row>
    <row r="59" spans="1:3" x14ac:dyDescent="0.25">
      <c r="A59" s="7" t="s">
        <v>55</v>
      </c>
      <c r="B59" s="7">
        <v>1</v>
      </c>
      <c r="C59" s="22"/>
    </row>
  </sheetData>
  <mergeCells count="8">
    <mergeCell ref="C48:C49"/>
    <mergeCell ref="C53:C54"/>
    <mergeCell ref="C58:C59"/>
    <mergeCell ref="D16:F16"/>
    <mergeCell ref="D32:E32"/>
    <mergeCell ref="B33:E33"/>
    <mergeCell ref="B34:E34"/>
    <mergeCell ref="D31:E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Deiby</dc:creator>
  <cp:lastModifiedBy>Deiby González</cp:lastModifiedBy>
  <dcterms:created xsi:type="dcterms:W3CDTF">2015-06-05T18:19:34Z</dcterms:created>
  <dcterms:modified xsi:type="dcterms:W3CDTF">2026-03-03T02:49:44Z</dcterms:modified>
</cp:coreProperties>
</file>